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iso\Downloads\Telegram Desktop\"/>
    </mc:Choice>
  </mc:AlternateContent>
  <xr:revisionPtr revIDLastSave="0" documentId="13_ncr:1_{C1D19373-B9EA-442E-887E-D206D9B030E1}" xr6:coauthVersionLast="47" xr6:coauthVersionMax="47" xr10:uidLastSave="{00000000-0000-0000-0000-000000000000}"/>
  <bookViews>
    <workbookView xWindow="-108" yWindow="-108" windowWidth="23256" windowHeight="12576" xr2:uid="{CCB1469A-BE47-45D6-9F51-053B9CFE15E2}"/>
  </bookViews>
  <sheets>
    <sheet name="CONSOLIDAÇÃO E ENVIO " sheetId="1" r:id="rId1"/>
    <sheet name="VENDAS" sheetId="3" r:id="rId2"/>
    <sheet name="RELAÇÃO DE IDS TELEGRAM" sheetId="2" r:id="rId3"/>
  </sheets>
  <definedNames>
    <definedName name="_xlnm._FilterDatabase" localSheetId="2" hidden="1">'RELAÇÃO DE IDS TELEGRAM'!$A$1:$B$1</definedName>
    <definedName name="ATE">'CONSOLIDAÇÃO E ENVIO '!$C$3</definedName>
    <definedName name="B">VENDAS!$B:$B</definedName>
    <definedName name="DE">'CONSOLIDAÇÃO E ENVIO '!$B$3</definedName>
    <definedName name="ITENS">Tabela1[[#All],[Quantidade de Itens]]</definedName>
    <definedName name="META">VENDAS!$B$1</definedName>
    <definedName name="Quantidade_de_Itens">Tabela1[Quantidade de Itens]</definedName>
    <definedName name="Vendedor">VENDAS!$B:$B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1" l="1"/>
  <c r="I18" i="1"/>
  <c r="F18" i="1"/>
  <c r="C18" i="1"/>
  <c r="L17" i="1"/>
  <c r="L16" i="1"/>
  <c r="L15" i="1"/>
  <c r="L14" i="1"/>
  <c r="L13" i="1"/>
  <c r="I17" i="1"/>
  <c r="I16" i="1"/>
  <c r="I15" i="1"/>
  <c r="I14" i="1"/>
  <c r="I13" i="1"/>
  <c r="F17" i="1"/>
  <c r="F16" i="1"/>
  <c r="F15" i="1"/>
  <c r="F14" i="1"/>
  <c r="F13" i="1"/>
  <c r="C17" i="1"/>
  <c r="C16" i="1"/>
  <c r="C15" i="1"/>
  <c r="C14" i="1"/>
  <c r="G10" i="3"/>
  <c r="C13" i="1"/>
  <c r="G5" i="3" l="1"/>
  <c r="G6" i="3"/>
  <c r="G7" i="3"/>
  <c r="G8" i="3"/>
  <c r="G4" i="3"/>
  <c r="E5" i="3"/>
  <c r="F5" i="3" s="1"/>
  <c r="E6" i="3"/>
  <c r="F6" i="3" s="1"/>
  <c r="E7" i="3"/>
  <c r="F7" i="3" s="1"/>
  <c r="E8" i="3"/>
  <c r="F8" i="3" s="1"/>
  <c r="E4" i="3"/>
  <c r="F4" i="3" s="1"/>
  <c r="C9" i="3"/>
  <c r="G9" i="3" s="1"/>
  <c r="C10" i="3" l="1"/>
  <c r="E9" i="3"/>
  <c r="F9" i="3" s="1"/>
  <c r="C11" i="3" l="1"/>
  <c r="F10" i="3"/>
  <c r="E10" i="3"/>
  <c r="C12" i="3" l="1"/>
  <c r="G11" i="3"/>
  <c r="E11" i="3"/>
  <c r="F11" i="3" s="1"/>
  <c r="E12" i="3" l="1"/>
  <c r="F12" i="3" s="1"/>
  <c r="C13" i="3"/>
  <c r="G12" i="3"/>
  <c r="G13" i="3" l="1"/>
  <c r="E13" i="3"/>
  <c r="F13" i="3" s="1"/>
  <c r="C14" i="3"/>
  <c r="F6" i="1"/>
  <c r="I6" i="1"/>
  <c r="L6" i="1"/>
  <c r="C6" i="1"/>
  <c r="C15" i="3" l="1"/>
  <c r="G14" i="3"/>
  <c r="E14" i="3"/>
  <c r="F14" i="3" s="1"/>
  <c r="C17" i="3" l="1"/>
  <c r="C16" i="3"/>
  <c r="G15" i="3"/>
  <c r="E15" i="3"/>
  <c r="F15" i="3" s="1"/>
  <c r="G17" i="3" l="1"/>
  <c r="E17" i="3"/>
  <c r="F17" i="3" s="1"/>
  <c r="C18" i="3"/>
  <c r="E16" i="3"/>
  <c r="F16" i="3" s="1"/>
  <c r="G16" i="3"/>
  <c r="G18" i="3" l="1"/>
  <c r="E18" i="3"/>
  <c r="F18" i="3" s="1"/>
  <c r="C19" i="3"/>
  <c r="C20" i="3" l="1"/>
  <c r="G19" i="3"/>
  <c r="E19" i="3"/>
  <c r="F19" i="3" s="1"/>
  <c r="C21" i="3" l="1"/>
  <c r="G20" i="3"/>
  <c r="E20" i="3"/>
  <c r="F20" i="3" s="1"/>
  <c r="G21" i="3" l="1"/>
  <c r="E21" i="3"/>
  <c r="F21" i="3" s="1"/>
  <c r="C22" i="3"/>
  <c r="G22" i="3" l="1"/>
  <c r="E22" i="3"/>
  <c r="F22" i="3" s="1"/>
  <c r="C23" i="3"/>
  <c r="C24" i="3" l="1"/>
  <c r="G23" i="3"/>
  <c r="E23" i="3"/>
  <c r="F23" i="3" s="1"/>
  <c r="C25" i="3" l="1"/>
  <c r="G24" i="3"/>
  <c r="E24" i="3"/>
  <c r="F24" i="3" s="1"/>
  <c r="G25" i="3" l="1"/>
  <c r="E25" i="3"/>
  <c r="F25" i="3" s="1"/>
  <c r="C26" i="3"/>
  <c r="C27" i="3" l="1"/>
  <c r="G26" i="3"/>
  <c r="E26" i="3"/>
  <c r="F26" i="3" s="1"/>
  <c r="G27" i="3" l="1"/>
  <c r="E27" i="3"/>
  <c r="F27" i="3" s="1"/>
  <c r="C28" i="3"/>
  <c r="C29" i="3" l="1"/>
  <c r="E28" i="3"/>
  <c r="F28" i="3" s="1"/>
  <c r="G28" i="3"/>
  <c r="G29" i="3" l="1"/>
  <c r="E29" i="3"/>
  <c r="F29" i="3" s="1"/>
  <c r="C30" i="3"/>
  <c r="G30" i="3" l="1"/>
  <c r="E30" i="3"/>
  <c r="F30" i="3" s="1"/>
  <c r="C31" i="3"/>
  <c r="C32" i="3" l="1"/>
  <c r="G31" i="3"/>
  <c r="E31" i="3"/>
  <c r="F31" i="3" s="1"/>
  <c r="E32" i="3" l="1"/>
  <c r="F32" i="3" s="1"/>
  <c r="C33" i="3"/>
  <c r="G32" i="3"/>
  <c r="C34" i="3" l="1"/>
  <c r="G33" i="3"/>
  <c r="F33" i="3"/>
  <c r="E33" i="3"/>
  <c r="C35" i="3" l="1"/>
  <c r="G34" i="3"/>
  <c r="E34" i="3"/>
  <c r="F34" i="3" s="1"/>
  <c r="G35" i="3" l="1"/>
  <c r="E35" i="3"/>
  <c r="F35" i="3" s="1"/>
</calcChain>
</file>

<file path=xl/sharedStrings.xml><?xml version="1.0" encoding="utf-8"?>
<sst xmlns="http://schemas.openxmlformats.org/spreadsheetml/2006/main" count="97" uniqueCount="30">
  <si>
    <t>CLUBE</t>
  </si>
  <si>
    <t>TELEGRAM</t>
  </si>
  <si>
    <t>ID TELEGRAM</t>
  </si>
  <si>
    <t>Bom dia galera!
Segue abaixo o resumo do nosso fechamento. Por favor verifiquem se está tudo certo.</t>
  </si>
  <si>
    <t>Bom dia Lek!
Segue abaixo o resumo do nosso fechamento. Por favor verifique se está tudo certo.</t>
  </si>
  <si>
    <t>Vendedor</t>
  </si>
  <si>
    <t>Data</t>
  </si>
  <si>
    <t>Total Vendido</t>
  </si>
  <si>
    <t>Comissão (%)</t>
  </si>
  <si>
    <t>Comissão ($)</t>
  </si>
  <si>
    <t>Status</t>
  </si>
  <si>
    <t>Gustavo Lima</t>
  </si>
  <si>
    <t>Leonardo</t>
  </si>
  <si>
    <t>Marília Mendonça</t>
  </si>
  <si>
    <t>Anitta</t>
  </si>
  <si>
    <t>META DIÁRIA</t>
  </si>
  <si>
    <t>Quantidade de Itens</t>
  </si>
  <si>
    <t>DE</t>
  </si>
  <si>
    <t>ATÉ</t>
  </si>
  <si>
    <t>VENDEDOR</t>
  </si>
  <si>
    <t>Total de Itens</t>
  </si>
  <si>
    <t>Dias Acima da Média</t>
  </si>
  <si>
    <t>Dias Abaixo da Média</t>
  </si>
  <si>
    <t>CONSOLIDADO DO PERÍODO</t>
  </si>
  <si>
    <t>ESCOLHA O PERÍODO</t>
  </si>
  <si>
    <t xml:space="preserve">Total Comissão </t>
  </si>
  <si>
    <t xml:space="preserve">Total Vendido </t>
  </si>
  <si>
    <t>Comissão(%)</t>
  </si>
  <si>
    <t>Bom dia galera!
Segue  o resumo do nosso fechamento. Por favor verifiquem se está tudo certo.</t>
  </si>
  <si>
    <t>INSIRA A MENSAGEM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</si>
</sst>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#,#00.0#"/>
    <numFmt numFmtId="169" formatCode="00"/>
    <numFmt numFmtId="171" formatCode="&quot;R$&quot;#,#00.0#"/>
    <numFmt numFmtId="172" formatCode="00.0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3"/>
      <color theme="3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0" borderId="0"/>
    <xf numFmtId="0" fontId="7" fillId="0" borderId="11" applyNumberFormat="0" applyFill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quotePrefix="1"/>
    <xf numFmtId="1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/>
    <xf numFmtId="0" fontId="3" fillId="2" borderId="2" xfId="0" applyFont="1" applyFill="1" applyBorder="1" applyAlignment="1"/>
    <xf numFmtId="0" fontId="3" fillId="2" borderId="3" xfId="0" applyFont="1" applyFill="1" applyBorder="1" applyAlignment="1">
      <alignment horizontal="center"/>
    </xf>
    <xf numFmtId="43" fontId="4" fillId="5" borderId="1" xfId="2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65" fontId="4" fillId="0" borderId="0" xfId="2" applyNumberFormat="1" applyFont="1" applyBorder="1"/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3" fillId="4" borderId="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8" fillId="0" borderId="0" xfId="1" applyFont="1" applyAlignment="1">
      <alignment horizontal="center" vertical="center"/>
    </xf>
    <xf numFmtId="0" fontId="7" fillId="0" borderId="11" xfId="4" applyAlignment="1">
      <alignment horizontal="center" vertical="center"/>
    </xf>
    <xf numFmtId="44" fontId="7" fillId="0" borderId="11" xfId="4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9" fontId="0" fillId="0" borderId="1" xfId="1" applyNumberFormat="1" applyFont="1" applyBorder="1"/>
    <xf numFmtId="171" fontId="0" fillId="0" borderId="1" xfId="1" applyNumberFormat="1" applyFont="1" applyBorder="1"/>
    <xf numFmtId="172" fontId="0" fillId="0" borderId="1" xfId="1" applyNumberFormat="1" applyFont="1" applyBorder="1"/>
  </cellXfs>
  <cellStyles count="5">
    <cellStyle name="Moeda" xfId="1" builtinId="4"/>
    <cellStyle name="Normal" xfId="0" builtinId="0"/>
    <cellStyle name="Normal 2" xfId="3" xr:uid="{F0C4E651-DDCA-41A3-83B8-4F616E497B9F}"/>
    <cellStyle name="Título 2" xfId="4" builtinId="17"/>
    <cellStyle name="Vírgula" xfId="2" builtinId="3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68CD1B50-F680-43C7-B93C-58FBC525FB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</xdr:colOff>
      <xdr:row>0</xdr:row>
      <xdr:rowOff>83820</xdr:rowOff>
    </xdr:from>
    <xdr:to>
      <xdr:col>6</xdr:col>
      <xdr:colOff>106680</xdr:colOff>
      <xdr:row>2</xdr:row>
      <xdr:rowOff>144780</xdr:rowOff>
    </xdr:to>
    <xdr:sp macro="[0]!enviar_tabela_excel_por_telegram" textlink="">
      <xdr:nvSpPr>
        <xdr:cNvPr id="2" name="Retângulo 1">
          <a:extLst>
            <a:ext uri="{FF2B5EF4-FFF2-40B4-BE49-F238E27FC236}">
              <a16:creationId xmlns:a16="http://schemas.microsoft.com/office/drawing/2014/main" id="{82114BC8-B9BC-46F4-ADAD-67C45E9FDB13}"/>
            </a:ext>
          </a:extLst>
        </xdr:cNvPr>
        <xdr:cNvSpPr/>
      </xdr:nvSpPr>
      <xdr:spPr>
        <a:xfrm>
          <a:off x="3672840" y="83820"/>
          <a:ext cx="2339340" cy="42672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CLIQUE</a:t>
          </a:r>
          <a:r>
            <a:rPr lang="pt-BR" sz="1100" baseline="0"/>
            <a:t> AQUI PARA ENVIAR 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18E1CF-35C7-4FD9-93D2-FACA19D1AE5F}" name="Tabela1" displayName="Tabela1" ref="A3:G35" totalsRowShown="0" headerRowDxfId="4" dataDxfId="5">
  <autoFilter ref="A3:G35" xr:uid="{2018E1CF-35C7-4FD9-93D2-FACA19D1AE5F}"/>
  <tableColumns count="7">
    <tableColumn id="1" xr3:uid="{4196C4B4-8E68-4CAC-9E3D-C9E6CB84D0BC}" name="Data" dataDxfId="10"/>
    <tableColumn id="2" xr3:uid="{20470253-8CA2-4F25-8071-78BC46E5717E}" name="Vendedor" dataDxfId="9"/>
    <tableColumn id="3" xr3:uid="{88C432A8-50A8-4979-A70F-ADEFE688B444}" name="Total Vendido" dataDxfId="3" dataCellStyle="Moeda"/>
    <tableColumn id="7" xr3:uid="{5001CC86-18A9-42EE-8A44-A447E2B78EEE}" name="Quantidade de Itens" dataDxfId="2" dataCellStyle="Moeda"/>
    <tableColumn id="4" xr3:uid="{722A1C56-E166-4714-AFE0-F0B5FCBB817C}" name="Comissão (%)" dataDxfId="8">
      <calculatedColumnFormula>IF(C4&gt;META,6,10)</calculatedColumnFormula>
    </tableColumn>
    <tableColumn id="5" xr3:uid="{FB2178BD-F25C-49D1-BEF0-CC3CEB502C58}" name="Comissão ($)" dataDxfId="7">
      <calculatedColumnFormula>C4*(E4/100)</calculatedColumnFormula>
    </tableColumn>
    <tableColumn id="6" xr3:uid="{18EC2DD0-D2DB-4121-9441-EC6F6C7B9596}" name="Status" dataDxfId="6">
      <calculatedColumnFormula>IF(C4&gt;META,"ATINGIU A META","NÃO ATINGIU A META")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5167B-5E73-4965-9435-5F7AD11EC2C3}">
  <sheetPr codeName="Sheet1"/>
  <dimension ref="B1:M23"/>
  <sheetViews>
    <sheetView showGridLines="0" tabSelected="1" workbookViewId="0">
      <selection activeCell="L21" sqref="L21"/>
    </sheetView>
  </sheetViews>
  <sheetFormatPr defaultRowHeight="14.4" x14ac:dyDescent="0.3"/>
  <cols>
    <col min="1" max="1" width="6.77734375" customWidth="1"/>
    <col min="2" max="2" width="20" customWidth="1"/>
    <col min="3" max="3" width="17" customWidth="1"/>
    <col min="4" max="4" width="6.33203125" customWidth="1"/>
    <col min="5" max="5" width="21.109375" bestFit="1" customWidth="1"/>
    <col min="6" max="6" width="14.88671875" bestFit="1" customWidth="1"/>
    <col min="8" max="8" width="21.109375" bestFit="1" customWidth="1"/>
    <col min="9" max="9" width="13.33203125" bestFit="1" customWidth="1"/>
    <col min="11" max="11" width="21.109375" bestFit="1" customWidth="1"/>
    <col min="12" max="12" width="13.33203125" bestFit="1" customWidth="1"/>
  </cols>
  <sheetData>
    <row r="1" spans="2:12" x14ac:dyDescent="0.3">
      <c r="B1" s="29" t="s">
        <v>24</v>
      </c>
      <c r="C1" s="30"/>
    </row>
    <row r="2" spans="2:12" x14ac:dyDescent="0.3">
      <c r="B2" s="31" t="s">
        <v>17</v>
      </c>
      <c r="C2" s="31" t="s">
        <v>18</v>
      </c>
    </row>
    <row r="3" spans="2:12" x14ac:dyDescent="0.3">
      <c r="B3" s="32">
        <v>44258</v>
      </c>
      <c r="C3" s="32">
        <v>44263</v>
      </c>
    </row>
    <row r="4" spans="2:12" ht="15" thickBot="1" x14ac:dyDescent="0.35"/>
    <row r="5" spans="2:12" x14ac:dyDescent="0.3">
      <c r="B5" s="7" t="s">
        <v>19</v>
      </c>
      <c r="C5" s="8" t="s">
        <v>2</v>
      </c>
      <c r="E5" s="7" t="s">
        <v>19</v>
      </c>
      <c r="F5" s="8" t="s">
        <v>2</v>
      </c>
      <c r="H5" s="7" t="s">
        <v>19</v>
      </c>
      <c r="I5" s="8" t="s">
        <v>2</v>
      </c>
      <c r="J5" s="2"/>
      <c r="K5" s="7" t="s">
        <v>19</v>
      </c>
      <c r="L5" s="8" t="s">
        <v>2</v>
      </c>
    </row>
    <row r="6" spans="2:12" x14ac:dyDescent="0.3">
      <c r="B6" s="6" t="s">
        <v>13</v>
      </c>
      <c r="C6" s="10">
        <f>VLOOKUP(B6,'RELAÇÃO DE IDS TELEGRAM'!$A$2:$B$42,2,FALSE)</f>
        <v>-580228847</v>
      </c>
      <c r="E6" s="6" t="s">
        <v>11</v>
      </c>
      <c r="F6" s="10">
        <f>VLOOKUP(E6,'RELAÇÃO DE IDS TELEGRAM'!$A$2:$B$42,2,FALSE)</f>
        <v>-573062853</v>
      </c>
      <c r="H6" s="6" t="s">
        <v>12</v>
      </c>
      <c r="I6" s="10">
        <f>VLOOKUP(H6,'RELAÇÃO DE IDS TELEGRAM'!$A$2:$B$42,2,FALSE)</f>
        <v>-516718914</v>
      </c>
      <c r="J6" s="5"/>
      <c r="K6" s="6" t="s">
        <v>14</v>
      </c>
      <c r="L6" s="10">
        <f>VLOOKUP(K6,'RELAÇÃO DE IDS TELEGRAM'!$A$2:$B$42,2,FALSE)</f>
        <v>-585922642</v>
      </c>
    </row>
    <row r="7" spans="2:12" x14ac:dyDescent="0.3">
      <c r="B7" s="18" t="s">
        <v>29</v>
      </c>
      <c r="C7" s="18"/>
      <c r="E7" s="18" t="s">
        <v>29</v>
      </c>
      <c r="F7" s="18"/>
      <c r="H7" s="18" t="s">
        <v>29</v>
      </c>
      <c r="I7" s="18"/>
      <c r="J7" s="5"/>
      <c r="K7" s="18" t="s">
        <v>29</v>
      </c>
      <c r="L7" s="18"/>
    </row>
    <row r="8" spans="2:12" ht="15" customHeight="1" x14ac:dyDescent="0.3">
      <c r="B8" s="12" t="s">
        <v>28</v>
      </c>
      <c r="C8" s="13"/>
      <c r="E8" s="12" t="s">
        <v>3</v>
      </c>
      <c r="F8" s="13"/>
      <c r="H8" s="12" t="s">
        <v>3</v>
      </c>
      <c r="I8" s="13"/>
      <c r="J8" s="5"/>
      <c r="K8" s="12" t="s">
        <v>4</v>
      </c>
      <c r="L8" s="13"/>
    </row>
    <row r="9" spans="2:12" x14ac:dyDescent="0.3">
      <c r="B9" s="14"/>
      <c r="C9" s="15"/>
      <c r="E9" s="14"/>
      <c r="F9" s="15"/>
      <c r="H9" s="14"/>
      <c r="I9" s="15"/>
      <c r="K9" s="14"/>
      <c r="L9" s="15"/>
    </row>
    <row r="10" spans="2:12" x14ac:dyDescent="0.3">
      <c r="B10" s="14"/>
      <c r="C10" s="15"/>
      <c r="E10" s="14"/>
      <c r="F10" s="15"/>
      <c r="H10" s="14"/>
      <c r="I10" s="15"/>
      <c r="K10" s="14"/>
      <c r="L10" s="15"/>
    </row>
    <row r="11" spans="2:12" x14ac:dyDescent="0.3">
      <c r="B11" s="16"/>
      <c r="C11" s="17"/>
      <c r="E11" s="16"/>
      <c r="F11" s="17"/>
      <c r="H11" s="16"/>
      <c r="I11" s="17"/>
      <c r="K11" s="16"/>
      <c r="L11" s="17"/>
    </row>
    <row r="12" spans="2:12" ht="15.6" x14ac:dyDescent="0.3">
      <c r="B12" s="19" t="s">
        <v>23</v>
      </c>
      <c r="C12" s="19"/>
      <c r="E12" s="19" t="s">
        <v>23</v>
      </c>
      <c r="F12" s="19"/>
      <c r="H12" s="19" t="s">
        <v>23</v>
      </c>
      <c r="I12" s="19"/>
      <c r="K12" s="19" t="s">
        <v>23</v>
      </c>
      <c r="L12" s="19"/>
    </row>
    <row r="13" spans="2:12" x14ac:dyDescent="0.3">
      <c r="B13" s="9" t="s">
        <v>20</v>
      </c>
      <c r="C13" s="33">
        <f>SUMIFS(Tabela1[Quantidade de Itens],Tabela1[Vendedor],'CONSOLIDAÇÃO E ENVIO '!B6,Tabela1[Data],"&gt;="&amp;DE,Tabela1[Data],"&lt;="&amp;ATE)</f>
        <v>283</v>
      </c>
      <c r="E13" s="9" t="s">
        <v>20</v>
      </c>
      <c r="F13" s="33">
        <f>SUMIFS(Tabela1[Quantidade de Itens],Tabela1[Vendedor],'CONSOLIDAÇÃO E ENVIO '!E6,Tabela1[Data],"&gt;="&amp;DE,Tabela1[Data],"&lt;="&amp;ATE)</f>
        <v>108</v>
      </c>
      <c r="H13" s="9" t="s">
        <v>20</v>
      </c>
      <c r="I13" s="33">
        <f>SUMIFS(Tabela1[Quantidade de Itens],Tabela1[Vendedor],'CONSOLIDAÇÃO E ENVIO '!H6,Tabela1[Data],"&gt;="&amp;DE,Tabela1[Data],"&lt;="&amp;ATE)</f>
        <v>283</v>
      </c>
      <c r="K13" s="9" t="s">
        <v>20</v>
      </c>
      <c r="L13" s="33">
        <f>SUMIFS(Tabela1[Quantidade de Itens],Tabela1[Vendedor],'CONSOLIDAÇÃO E ENVIO '!K6,Tabela1[Data],"&gt;="&amp;DE,Tabela1[Data],"&lt;="&amp;ATE)</f>
        <v>186</v>
      </c>
    </row>
    <row r="14" spans="2:12" x14ac:dyDescent="0.3">
      <c r="B14" s="9" t="s">
        <v>21</v>
      </c>
      <c r="C14" s="33">
        <f>COUNTIFS(Tabela1[Status],"ATINGIU A META",Tabela1[Vendedor],'CONSOLIDAÇÃO E ENVIO '!B6,Tabela1[Data],"&gt;="&amp;DE,Tabela1[Data],"&lt;="&amp;ATE)</f>
        <v>4</v>
      </c>
      <c r="E14" s="9" t="s">
        <v>21</v>
      </c>
      <c r="F14" s="33">
        <f>COUNTIFS(Tabela1[Status],"ATINGIU A META",Tabela1[Vendedor],'CONSOLIDAÇÃO E ENVIO '!E6,Tabela1[Data],"&gt;="&amp;DE,Tabela1[Data],"&lt;="&amp;ATE)</f>
        <v>1</v>
      </c>
      <c r="H14" s="9" t="s">
        <v>21</v>
      </c>
      <c r="I14" s="33">
        <f>COUNTIFS(Tabela1[Status],"ATINGIU A META",Tabela1[Vendedor],'CONSOLIDAÇÃO E ENVIO '!H6,Tabela1[Data],"&gt;="&amp;DE,Tabela1[Data],"&lt;="&amp;ATE)</f>
        <v>2</v>
      </c>
      <c r="K14" s="9" t="s">
        <v>21</v>
      </c>
      <c r="L14" s="33">
        <f>COUNTIFS(Tabela1[Status],"ATINGIU A META",Tabela1[Vendedor],'CONSOLIDAÇÃO E ENVIO '!K6,Tabela1[Data],"&gt;="&amp;DE,Tabela1[Data],"&lt;="&amp;ATE)</f>
        <v>2</v>
      </c>
    </row>
    <row r="15" spans="2:12" x14ac:dyDescent="0.3">
      <c r="B15" s="9" t="s">
        <v>22</v>
      </c>
      <c r="C15" s="33">
        <f>COUNTIFS(Tabela1[Status],"NÃO ATINGIU A META",Tabela1[Vendedor],'CONSOLIDAÇÃO E ENVIO '!B6,Tabela1[Data],"&gt;="&amp;DE,Tabela1[Data],"&lt;="&amp;ATE)</f>
        <v>1</v>
      </c>
      <c r="E15" s="9" t="s">
        <v>22</v>
      </c>
      <c r="F15" s="33">
        <f>COUNTIFS(Tabela1[Status],"NÃO ATINGIU A META",Tabela1[Vendedor],'CONSOLIDAÇÃO E ENVIO '!E6,Tabela1[Data],"&gt;="&amp;DE,Tabela1[Data],"&lt;="&amp;ATE)</f>
        <v>4</v>
      </c>
      <c r="H15" s="9" t="s">
        <v>22</v>
      </c>
      <c r="I15" s="33">
        <f>COUNTIFS(Tabela1[Status],"NÃO ATINGIU A META",Tabela1[Vendedor],'CONSOLIDAÇÃO E ENVIO '!H6,Tabela1[Data],"&gt;="&amp;DE,Tabela1[Data],"&lt;="&amp;ATE)</f>
        <v>3</v>
      </c>
      <c r="K15" s="9" t="s">
        <v>22</v>
      </c>
      <c r="L15" s="33">
        <f>COUNTIFS(Tabela1[Status],"NÃO ATINGIU A META",Tabela1[Vendedor],'CONSOLIDAÇÃO E ENVIO '!K6,Tabela1[Data],"&gt;="&amp;DE,Tabela1[Data],"&lt;="&amp;ATE)</f>
        <v>3</v>
      </c>
    </row>
    <row r="16" spans="2:12" x14ac:dyDescent="0.3">
      <c r="B16" s="9" t="s">
        <v>26</v>
      </c>
      <c r="C16" s="34">
        <f>SUMIFS(Tabela1[Total Vendido],Tabela1[Vendedor],'CONSOLIDAÇÃO E ENVIO '!B6,Tabela1[Data],"&gt;="&amp;DE,Tabela1[Data],"&lt;="&amp;ATE)</f>
        <v>26541.79</v>
      </c>
      <c r="E16" s="9" t="s">
        <v>26</v>
      </c>
      <c r="F16" s="34">
        <f>SUMIFS(Tabela1[Total Vendido],Tabela1[Vendedor],'CONSOLIDAÇÃO E ENVIO '!E6,Tabela1[Data],"&gt;="&amp;DE,Tabela1[Data],"&lt;="&amp;ATE)</f>
        <v>18170.82</v>
      </c>
      <c r="H16" s="9" t="s">
        <v>26</v>
      </c>
      <c r="I16" s="34">
        <f>SUMIFS(Tabela1[Total Vendido],Tabela1[Vendedor],'CONSOLIDAÇÃO E ENVIO '!H6,Tabela1[Data],"&gt;="&amp;DE,Tabela1[Data],"&lt;="&amp;ATE)</f>
        <v>26877.800000000003</v>
      </c>
      <c r="K16" s="9" t="s">
        <v>26</v>
      </c>
      <c r="L16" s="34">
        <f>SUMIFS(Tabela1[Total Vendido],Tabela1[Vendedor],'CONSOLIDAÇÃO E ENVIO '!K6,Tabela1[Data],"&gt;="&amp;DE,Tabela1[Data],"&lt;="&amp;ATE)</f>
        <v>28467.79</v>
      </c>
    </row>
    <row r="17" spans="2:13" x14ac:dyDescent="0.3">
      <c r="B17" s="9" t="s">
        <v>25</v>
      </c>
      <c r="C17" s="34">
        <f>SUMIFS(Tabela1[Comissão ($)],Tabela1[Vendedor],'CONSOLIDAÇÃO E ENVIO '!B6,Tabela1[Data],"&gt;="&amp;DE,Tabela1[Data],"&lt;="&amp;ATE)</f>
        <v>1668.7374000000002</v>
      </c>
      <c r="E17" s="9" t="s">
        <v>25</v>
      </c>
      <c r="F17" s="34">
        <f>SUMIFS(Tabela1[Comissão ($)],Tabela1[Vendedor],'CONSOLIDAÇÃO E ENVIO '!E6,Tabela1[Data],"&gt;="&amp;DE,Tabela1[Data],"&lt;="&amp;ATE)</f>
        <v>1528.4924000000001</v>
      </c>
      <c r="H17" s="9" t="s">
        <v>25</v>
      </c>
      <c r="I17" s="34">
        <f>SUMIFS(Tabela1[Comissão ($)],Tabela1[Vendedor],'CONSOLIDAÇÃO E ENVIO '!H6,Tabela1[Data],"&gt;="&amp;DE,Tabela1[Data],"&lt;="&amp;ATE)</f>
        <v>2051.2800000000002</v>
      </c>
      <c r="K17" s="9" t="s">
        <v>25</v>
      </c>
      <c r="L17" s="34">
        <f>SUMIFS(Tabela1[Comissão ($)],Tabela1[Vendedor],'CONSOLIDAÇÃO E ENVIO '!K6,Tabela1[Data],"&gt;="&amp;DE,Tabela1[Data],"&lt;="&amp;ATE)</f>
        <v>2074.9982</v>
      </c>
    </row>
    <row r="18" spans="2:13" x14ac:dyDescent="0.3">
      <c r="B18" s="9" t="s">
        <v>27</v>
      </c>
      <c r="C18" s="35">
        <f>(C17/C16)*100</f>
        <v>6.2872074566184128</v>
      </c>
      <c r="E18" s="9" t="s">
        <v>27</v>
      </c>
      <c r="F18" s="35">
        <f>(F17/F16)*100</f>
        <v>8.4117964957002496</v>
      </c>
      <c r="H18" s="9" t="s">
        <v>27</v>
      </c>
      <c r="I18" s="35">
        <f>(I17/I16)*100</f>
        <v>7.6318746325964177</v>
      </c>
      <c r="K18" s="9" t="s">
        <v>27</v>
      </c>
      <c r="L18" s="35">
        <f>(L17/L16)*100</f>
        <v>7.2889332118861354</v>
      </c>
    </row>
    <row r="21" spans="2:13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</row>
    <row r="22" spans="2:13" x14ac:dyDescent="0.3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</row>
    <row r="23" spans="2:13" x14ac:dyDescent="0.3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</row>
  </sheetData>
  <mergeCells count="13">
    <mergeCell ref="B1:C1"/>
    <mergeCell ref="B7:C7"/>
    <mergeCell ref="B8:C11"/>
    <mergeCell ref="K7:L7"/>
    <mergeCell ref="K8:L11"/>
    <mergeCell ref="E7:F7"/>
    <mergeCell ref="E8:F11"/>
    <mergeCell ref="H7:I7"/>
    <mergeCell ref="H8:I11"/>
    <mergeCell ref="B12:C12"/>
    <mergeCell ref="E12:F12"/>
    <mergeCell ref="H12:I12"/>
    <mergeCell ref="K12:L12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8DD87-D0BF-495A-ADAF-9D1F1012C0B1}">
          <x14:formula1>
            <xm:f>'RELAÇÃO DE IDS TELEGRAM'!$A$2:$A$42</xm:f>
          </x14:formula1>
          <xm:sqref>K6 H6 B6</xm:sqref>
        </x14:dataValidation>
        <x14:dataValidation type="list" allowBlank="1" showInputMessage="1" showErrorMessage="1" xr:uid="{1FE3B5C8-CF5D-40FB-A1A7-810503F9DE82}">
          <x14:formula1>
            <xm:f>'RELAÇÃO DE IDS TELEGRAM'!$A$2:$A42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3BF85-C6CB-4933-9059-A754C762833B}">
  <sheetPr codeName="Planilha2"/>
  <dimension ref="A1:G57"/>
  <sheetViews>
    <sheetView showGridLines="0" workbookViewId="0">
      <selection activeCell="G10" sqref="G10"/>
    </sheetView>
  </sheetViews>
  <sheetFormatPr defaultRowHeight="14.4" x14ac:dyDescent="0.3"/>
  <cols>
    <col min="1" max="1" width="16.109375" customWidth="1"/>
    <col min="2" max="2" width="31.5546875" customWidth="1"/>
    <col min="3" max="3" width="18.88671875" customWidth="1"/>
    <col min="4" max="4" width="22.88671875" customWidth="1"/>
    <col min="5" max="6" width="18.109375" customWidth="1"/>
    <col min="7" max="7" width="21.33203125" customWidth="1"/>
  </cols>
  <sheetData>
    <row r="1" spans="1:7" ht="53.4" customHeight="1" thickBot="1" x14ac:dyDescent="0.35">
      <c r="A1" s="24" t="s">
        <v>15</v>
      </c>
      <c r="B1" s="25">
        <v>5000</v>
      </c>
    </row>
    <row r="2" spans="1:7" ht="53.4" customHeight="1" thickTop="1" x14ac:dyDescent="0.3">
      <c r="A2" s="21"/>
      <c r="B2" s="23"/>
    </row>
    <row r="3" spans="1:7" x14ac:dyDescent="0.3">
      <c r="A3" s="21" t="s">
        <v>6</v>
      </c>
      <c r="B3" s="21" t="s">
        <v>5</v>
      </c>
      <c r="C3" s="21" t="s">
        <v>7</v>
      </c>
      <c r="D3" s="21" t="s">
        <v>16</v>
      </c>
      <c r="E3" s="21" t="s">
        <v>8</v>
      </c>
      <c r="F3" s="21" t="s">
        <v>9</v>
      </c>
      <c r="G3" s="21" t="s">
        <v>10</v>
      </c>
    </row>
    <row r="4" spans="1:7" x14ac:dyDescent="0.3">
      <c r="A4" s="26">
        <v>44256</v>
      </c>
      <c r="B4" s="21" t="s">
        <v>11</v>
      </c>
      <c r="C4" s="22">
        <v>4569.8900000000003</v>
      </c>
      <c r="D4" s="28">
        <v>78</v>
      </c>
      <c r="E4" s="21">
        <f>IF(C4&gt;META,6,10)</f>
        <v>10</v>
      </c>
      <c r="F4" s="27">
        <f>C4*(E4/100)</f>
        <v>456.98900000000003</v>
      </c>
      <c r="G4" s="21" t="str">
        <f>IF(C4&gt;META,"ATINGIU A META","NÃO ATINGIU A META")</f>
        <v>NÃO ATINGIU A META</v>
      </c>
    </row>
    <row r="5" spans="1:7" x14ac:dyDescent="0.3">
      <c r="A5" s="26">
        <v>44256</v>
      </c>
      <c r="B5" s="21" t="s">
        <v>12</v>
      </c>
      <c r="C5" s="22">
        <v>5673.09</v>
      </c>
      <c r="D5" s="28">
        <v>34</v>
      </c>
      <c r="E5" s="21">
        <f>IF(C5&gt;META,6,10)</f>
        <v>6</v>
      </c>
      <c r="F5" s="27">
        <f t="shared" ref="F5:F35" si="0">C5*(E5/100)</f>
        <v>340.3854</v>
      </c>
      <c r="G5" s="21" t="str">
        <f>IF(C5&gt;META,"ATINGIU A META","NÃO ATINGIU A META")</f>
        <v>ATINGIU A META</v>
      </c>
    </row>
    <row r="6" spans="1:7" x14ac:dyDescent="0.3">
      <c r="A6" s="26">
        <v>44256</v>
      </c>
      <c r="B6" s="21" t="s">
        <v>13</v>
      </c>
      <c r="C6" s="22">
        <v>3452</v>
      </c>
      <c r="D6" s="28">
        <v>60</v>
      </c>
      <c r="E6" s="21">
        <f>IF(C6&gt;META,6,10)</f>
        <v>10</v>
      </c>
      <c r="F6" s="27">
        <f t="shared" si="0"/>
        <v>345.20000000000005</v>
      </c>
      <c r="G6" s="21" t="str">
        <f>IF(C6&gt;META,"ATINGIU A META","NÃO ATINGIU A META")</f>
        <v>NÃO ATINGIU A META</v>
      </c>
    </row>
    <row r="7" spans="1:7" x14ac:dyDescent="0.3">
      <c r="A7" s="26">
        <v>44256</v>
      </c>
      <c r="B7" s="21" t="s">
        <v>14</v>
      </c>
      <c r="C7" s="22">
        <v>2089.2199999999998</v>
      </c>
      <c r="D7" s="28">
        <v>33</v>
      </c>
      <c r="E7" s="21">
        <f>IF(C7&gt;META,6,10)</f>
        <v>10</v>
      </c>
      <c r="F7" s="27">
        <f t="shared" si="0"/>
        <v>208.922</v>
      </c>
      <c r="G7" s="21" t="str">
        <f>IF(C7&gt;META,"ATINGIU A META","NÃO ATINGIU A META")</f>
        <v>NÃO ATINGIU A META</v>
      </c>
    </row>
    <row r="8" spans="1:7" x14ac:dyDescent="0.3">
      <c r="A8" s="26">
        <v>44258</v>
      </c>
      <c r="B8" s="21" t="s">
        <v>11</v>
      </c>
      <c r="C8" s="22">
        <v>4890.7700000000004</v>
      </c>
      <c r="D8" s="28">
        <v>9</v>
      </c>
      <c r="E8" s="21">
        <f>IF(C8&gt;META,6,10)</f>
        <v>10</v>
      </c>
      <c r="F8" s="27">
        <f t="shared" si="0"/>
        <v>489.07700000000006</v>
      </c>
      <c r="G8" s="21" t="str">
        <f>IF(C8&gt;META,"ATINGIU A META","NÃO ATINGIU A META")</f>
        <v>NÃO ATINGIU A META</v>
      </c>
    </row>
    <row r="9" spans="1:7" x14ac:dyDescent="0.3">
      <c r="A9" s="26">
        <v>44258</v>
      </c>
      <c r="B9" s="21" t="s">
        <v>12</v>
      </c>
      <c r="C9" s="22">
        <f>C8+89</f>
        <v>4979.7700000000004</v>
      </c>
      <c r="D9" s="28">
        <v>47</v>
      </c>
      <c r="E9" s="21">
        <f>IF(C9&gt;META,6,10)</f>
        <v>10</v>
      </c>
      <c r="F9" s="27">
        <f t="shared" si="0"/>
        <v>497.97700000000009</v>
      </c>
      <c r="G9" s="21" t="str">
        <f>IF(C9&gt;META,"ATINGIU A META","NÃO ATINGIU A META")</f>
        <v>NÃO ATINGIU A META</v>
      </c>
    </row>
    <row r="10" spans="1:7" x14ac:dyDescent="0.3">
      <c r="A10" s="26">
        <v>44258</v>
      </c>
      <c r="B10" s="21" t="s">
        <v>13</v>
      </c>
      <c r="C10" s="22">
        <f t="shared" ref="C10" si="1">C9+89</f>
        <v>5068.7700000000004</v>
      </c>
      <c r="D10" s="28">
        <v>83</v>
      </c>
      <c r="E10" s="21">
        <f>IF(C10&gt;META,6,10)</f>
        <v>6</v>
      </c>
      <c r="F10" s="27">
        <f t="shared" si="0"/>
        <v>304.12620000000004</v>
      </c>
      <c r="G10" s="21" t="str">
        <f>IF(C10&gt;META,"ATINGIU A META","NÃO ATINGIU A META")</f>
        <v>ATINGIU A META</v>
      </c>
    </row>
    <row r="11" spans="1:7" x14ac:dyDescent="0.3">
      <c r="A11" s="26">
        <v>44258</v>
      </c>
      <c r="B11" s="21" t="s">
        <v>14</v>
      </c>
      <c r="C11" s="22">
        <f>C10-2340</f>
        <v>2728.7700000000004</v>
      </c>
      <c r="D11" s="28">
        <v>90</v>
      </c>
      <c r="E11" s="21">
        <f>IF(C11&gt;META,6,10)</f>
        <v>10</v>
      </c>
      <c r="F11" s="27">
        <f t="shared" si="0"/>
        <v>272.87700000000007</v>
      </c>
      <c r="G11" s="21" t="str">
        <f>IF(C11&gt;META,"ATINGIU A META","NÃO ATINGIU A META")</f>
        <v>NÃO ATINGIU A META</v>
      </c>
    </row>
    <row r="12" spans="1:7" x14ac:dyDescent="0.3">
      <c r="A12" s="26">
        <v>44259</v>
      </c>
      <c r="B12" s="21" t="s">
        <v>11</v>
      </c>
      <c r="C12" s="22">
        <f t="shared" ref="C12" si="2">C11-2340</f>
        <v>388.77000000000044</v>
      </c>
      <c r="D12" s="28">
        <v>3</v>
      </c>
      <c r="E12" s="21">
        <f>IF(C12&gt;META,6,10)</f>
        <v>10</v>
      </c>
      <c r="F12" s="27">
        <f t="shared" si="0"/>
        <v>38.877000000000045</v>
      </c>
      <c r="G12" s="21" t="str">
        <f>IF(C12&gt;META,"ATINGIU A META","NÃO ATINGIU A META")</f>
        <v>NÃO ATINGIU A META</v>
      </c>
    </row>
    <row r="13" spans="1:7" x14ac:dyDescent="0.3">
      <c r="A13" s="26">
        <v>44259</v>
      </c>
      <c r="B13" s="21" t="s">
        <v>12</v>
      </c>
      <c r="C13" s="22">
        <f>C12+4000</f>
        <v>4388.7700000000004</v>
      </c>
      <c r="D13" s="28">
        <v>22</v>
      </c>
      <c r="E13" s="21">
        <f>IF(C13&gt;META,6,10)</f>
        <v>10</v>
      </c>
      <c r="F13" s="27">
        <f t="shared" si="0"/>
        <v>438.87700000000007</v>
      </c>
      <c r="G13" s="21" t="str">
        <f>IF(C13&gt;META,"ATINGIU A META","NÃO ATINGIU A META")</f>
        <v>NÃO ATINGIU A META</v>
      </c>
    </row>
    <row r="14" spans="1:7" x14ac:dyDescent="0.3">
      <c r="A14" s="26">
        <v>44259</v>
      </c>
      <c r="B14" s="21" t="s">
        <v>13</v>
      </c>
      <c r="C14" s="22">
        <f t="shared" ref="C14:C17" si="3">C13+4000</f>
        <v>8388.77</v>
      </c>
      <c r="D14" s="28">
        <v>77</v>
      </c>
      <c r="E14" s="21">
        <f>IF(C14&gt;META,6,10)</f>
        <v>6</v>
      </c>
      <c r="F14" s="27">
        <f t="shared" si="0"/>
        <v>503.32620000000003</v>
      </c>
      <c r="G14" s="21" t="str">
        <f>IF(C14&gt;META,"ATINGIU A META","NÃO ATINGIU A META")</f>
        <v>ATINGIU A META</v>
      </c>
    </row>
    <row r="15" spans="1:7" x14ac:dyDescent="0.3">
      <c r="A15" s="26">
        <v>44259</v>
      </c>
      <c r="B15" s="21" t="s">
        <v>14</v>
      </c>
      <c r="C15" s="22">
        <f t="shared" si="3"/>
        <v>12388.77</v>
      </c>
      <c r="D15" s="28">
        <v>43</v>
      </c>
      <c r="E15" s="21">
        <f>IF(C15&gt;META,6,10)</f>
        <v>6</v>
      </c>
      <c r="F15" s="27">
        <f t="shared" si="0"/>
        <v>743.32619999999997</v>
      </c>
      <c r="G15" s="21" t="str">
        <f>IF(C15&gt;META,"ATINGIU A META","NÃO ATINGIU A META")</f>
        <v>ATINGIU A META</v>
      </c>
    </row>
    <row r="16" spans="1:7" x14ac:dyDescent="0.3">
      <c r="A16" s="26">
        <v>44260</v>
      </c>
      <c r="B16" s="21" t="s">
        <v>11</v>
      </c>
      <c r="C16" s="22">
        <f>C15-8000</f>
        <v>4388.7700000000004</v>
      </c>
      <c r="D16" s="28">
        <v>12</v>
      </c>
      <c r="E16" s="21">
        <f>IF(C16&gt;META,6,10)</f>
        <v>10</v>
      </c>
      <c r="F16" s="27">
        <f t="shared" si="0"/>
        <v>438.87700000000007</v>
      </c>
      <c r="G16" s="21" t="str">
        <f>IF(C16&gt;META,"ATINGIU A META","NÃO ATINGIU A META")</f>
        <v>NÃO ATINGIU A META</v>
      </c>
    </row>
    <row r="17" spans="1:7" x14ac:dyDescent="0.3">
      <c r="A17" s="26">
        <v>44260</v>
      </c>
      <c r="B17" s="21" t="s">
        <v>12</v>
      </c>
      <c r="C17" s="22">
        <f t="shared" si="3"/>
        <v>8388.77</v>
      </c>
      <c r="D17" s="28">
        <v>70</v>
      </c>
      <c r="E17" s="21">
        <f>IF(C17&gt;META,6,10)</f>
        <v>6</v>
      </c>
      <c r="F17" s="27">
        <f t="shared" si="0"/>
        <v>503.32620000000003</v>
      </c>
      <c r="G17" s="21" t="str">
        <f>IF(C17&gt;META,"ATINGIU A META","NÃO ATINGIU A META")</f>
        <v>ATINGIU A META</v>
      </c>
    </row>
    <row r="18" spans="1:7" x14ac:dyDescent="0.3">
      <c r="A18" s="26">
        <v>44260</v>
      </c>
      <c r="B18" s="21" t="s">
        <v>13</v>
      </c>
      <c r="C18" s="22">
        <f>C17- 2367</f>
        <v>6021.77</v>
      </c>
      <c r="D18" s="28">
        <v>65</v>
      </c>
      <c r="E18" s="21">
        <f>IF(C18&gt;META,6,10)</f>
        <v>6</v>
      </c>
      <c r="F18" s="27">
        <f t="shared" si="0"/>
        <v>361.30619999999999</v>
      </c>
      <c r="G18" s="21" t="str">
        <f>IF(C18&gt;META,"ATINGIU A META","NÃO ATINGIU A META")</f>
        <v>ATINGIU A META</v>
      </c>
    </row>
    <row r="19" spans="1:7" x14ac:dyDescent="0.3">
      <c r="A19" s="26">
        <v>44260</v>
      </c>
      <c r="B19" s="21" t="s">
        <v>14</v>
      </c>
      <c r="C19" s="22">
        <f t="shared" ref="C19:C27" si="4">C18- 2367</f>
        <v>3654.7700000000004</v>
      </c>
      <c r="D19" s="28">
        <v>18</v>
      </c>
      <c r="E19" s="21">
        <f>IF(C19&gt;META,6,10)</f>
        <v>10</v>
      </c>
      <c r="F19" s="27">
        <f t="shared" si="0"/>
        <v>365.47700000000009</v>
      </c>
      <c r="G19" s="21" t="str">
        <f>IF(C19&gt;META,"ATINGIU A META","NÃO ATINGIU A META")</f>
        <v>NÃO ATINGIU A META</v>
      </c>
    </row>
    <row r="20" spans="1:7" x14ac:dyDescent="0.3">
      <c r="A20" s="26">
        <v>44262</v>
      </c>
      <c r="B20" s="21" t="s">
        <v>11</v>
      </c>
      <c r="C20" s="22">
        <f t="shared" si="4"/>
        <v>1287.7700000000004</v>
      </c>
      <c r="D20" s="28">
        <v>39</v>
      </c>
      <c r="E20" s="21">
        <f>IF(C20&gt;META,6,10)</f>
        <v>10</v>
      </c>
      <c r="F20" s="27">
        <f t="shared" si="0"/>
        <v>128.77700000000004</v>
      </c>
      <c r="G20" s="21" t="str">
        <f>IF(C20&gt;META,"ATINGIU A META","NÃO ATINGIU A META")</f>
        <v>NÃO ATINGIU A META</v>
      </c>
    </row>
    <row r="21" spans="1:7" x14ac:dyDescent="0.3">
      <c r="A21" s="26">
        <v>44262</v>
      </c>
      <c r="B21" s="21" t="s">
        <v>12</v>
      </c>
      <c r="C21" s="22">
        <f>C20+308.99</f>
        <v>1596.7600000000004</v>
      </c>
      <c r="D21" s="28">
        <v>71</v>
      </c>
      <c r="E21" s="21">
        <f>IF(C21&gt;META,6,10)</f>
        <v>10</v>
      </c>
      <c r="F21" s="27">
        <f t="shared" si="0"/>
        <v>159.67600000000004</v>
      </c>
      <c r="G21" s="21" t="str">
        <f>IF(C21&gt;META,"ATINGIU A META","NÃO ATINGIU A META")</f>
        <v>NÃO ATINGIU A META</v>
      </c>
    </row>
    <row r="22" spans="1:7" x14ac:dyDescent="0.3">
      <c r="A22" s="26">
        <v>44262</v>
      </c>
      <c r="B22" s="21" t="s">
        <v>13</v>
      </c>
      <c r="C22" s="22">
        <f t="shared" ref="C22:C25" si="5">C21+308.99</f>
        <v>1905.7500000000005</v>
      </c>
      <c r="D22" s="28">
        <v>17</v>
      </c>
      <c r="E22" s="21">
        <f>IF(C22&gt;META,6,10)</f>
        <v>10</v>
      </c>
      <c r="F22" s="27">
        <f t="shared" si="0"/>
        <v>190.57500000000005</v>
      </c>
      <c r="G22" s="21" t="str">
        <f>IF(C22&gt;META,"ATINGIU A META","NÃO ATINGIU A META")</f>
        <v>NÃO ATINGIU A META</v>
      </c>
    </row>
    <row r="23" spans="1:7" x14ac:dyDescent="0.3">
      <c r="A23" s="26">
        <v>44262</v>
      </c>
      <c r="B23" s="21" t="s">
        <v>14</v>
      </c>
      <c r="C23" s="22">
        <f>C22+5000</f>
        <v>6905.75</v>
      </c>
      <c r="D23" s="28">
        <v>13</v>
      </c>
      <c r="E23" s="21">
        <f>IF(C23&gt;META,6,10)</f>
        <v>6</v>
      </c>
      <c r="F23" s="27">
        <f t="shared" si="0"/>
        <v>414.34499999999997</v>
      </c>
      <c r="G23" s="21" t="str">
        <f>IF(C23&gt;META,"ATINGIU A META","NÃO ATINGIU A META")</f>
        <v>ATINGIU A META</v>
      </c>
    </row>
    <row r="24" spans="1:7" x14ac:dyDescent="0.3">
      <c r="A24" s="26">
        <v>44263</v>
      </c>
      <c r="B24" s="21" t="s">
        <v>11</v>
      </c>
      <c r="C24" s="22">
        <f t="shared" si="5"/>
        <v>7214.74</v>
      </c>
      <c r="D24" s="28">
        <v>45</v>
      </c>
      <c r="E24" s="21">
        <f>IF(C24&gt;META,6,10)</f>
        <v>6</v>
      </c>
      <c r="F24" s="27">
        <f t="shared" si="0"/>
        <v>432.88439999999997</v>
      </c>
      <c r="G24" s="21" t="str">
        <f>IF(C24&gt;META,"ATINGIU A META","NÃO ATINGIU A META")</f>
        <v>ATINGIU A META</v>
      </c>
    </row>
    <row r="25" spans="1:7" x14ac:dyDescent="0.3">
      <c r="A25" s="26">
        <v>44263</v>
      </c>
      <c r="B25" s="21" t="s">
        <v>12</v>
      </c>
      <c r="C25" s="22">
        <f t="shared" si="5"/>
        <v>7523.73</v>
      </c>
      <c r="D25" s="28">
        <v>73</v>
      </c>
      <c r="E25" s="21">
        <f>IF(C25&gt;META,6,10)</f>
        <v>6</v>
      </c>
      <c r="F25" s="27">
        <f t="shared" si="0"/>
        <v>451.42379999999997</v>
      </c>
      <c r="G25" s="21" t="str">
        <f>IF(C25&gt;META,"ATINGIU A META","NÃO ATINGIU A META")</f>
        <v>ATINGIU A META</v>
      </c>
    </row>
    <row r="26" spans="1:7" x14ac:dyDescent="0.3">
      <c r="A26" s="26">
        <v>44263</v>
      </c>
      <c r="B26" s="21" t="s">
        <v>13</v>
      </c>
      <c r="C26" s="22">
        <f t="shared" si="4"/>
        <v>5156.7299999999996</v>
      </c>
      <c r="D26" s="28">
        <v>41</v>
      </c>
      <c r="E26" s="21">
        <f>IF(C26&gt;META,6,10)</f>
        <v>6</v>
      </c>
      <c r="F26" s="27">
        <f t="shared" si="0"/>
        <v>309.40379999999999</v>
      </c>
      <c r="G26" s="21" t="str">
        <f>IF(C26&gt;META,"ATINGIU A META","NÃO ATINGIU A META")</f>
        <v>ATINGIU A META</v>
      </c>
    </row>
    <row r="27" spans="1:7" x14ac:dyDescent="0.3">
      <c r="A27" s="26">
        <v>44263</v>
      </c>
      <c r="B27" s="21" t="s">
        <v>14</v>
      </c>
      <c r="C27" s="22">
        <f t="shared" si="4"/>
        <v>2789.7299999999996</v>
      </c>
      <c r="D27" s="28">
        <v>22</v>
      </c>
      <c r="E27" s="21">
        <f>IF(C27&gt;META,6,10)</f>
        <v>10</v>
      </c>
      <c r="F27" s="27">
        <f t="shared" si="0"/>
        <v>278.97299999999996</v>
      </c>
      <c r="G27" s="21" t="str">
        <f>IF(C27&gt;META,"ATINGIU A META","NÃO ATINGIU A META")</f>
        <v>NÃO ATINGIU A META</v>
      </c>
    </row>
    <row r="28" spans="1:7" x14ac:dyDescent="0.3">
      <c r="A28" s="26">
        <v>44265</v>
      </c>
      <c r="B28" s="21" t="s">
        <v>11</v>
      </c>
      <c r="C28" s="22">
        <f>C27+9087</f>
        <v>11876.73</v>
      </c>
      <c r="D28" s="28">
        <v>123</v>
      </c>
      <c r="E28" s="21">
        <f>IF(C28&gt;META,6,10)</f>
        <v>6</v>
      </c>
      <c r="F28" s="27">
        <f t="shared" si="0"/>
        <v>712.60379999999998</v>
      </c>
      <c r="G28" s="21" t="str">
        <f>IF(C28&gt;META,"ATINGIU A META","NÃO ATINGIU A META")</f>
        <v>ATINGIU A META</v>
      </c>
    </row>
    <row r="29" spans="1:7" x14ac:dyDescent="0.3">
      <c r="A29" s="26">
        <v>44265</v>
      </c>
      <c r="B29" s="21" t="s">
        <v>12</v>
      </c>
      <c r="C29" s="22">
        <f>C28-6000</f>
        <v>5876.73</v>
      </c>
      <c r="D29" s="28">
        <v>67</v>
      </c>
      <c r="E29" s="21">
        <f>IF(C29&gt;META,6,10)</f>
        <v>6</v>
      </c>
      <c r="F29" s="27">
        <f t="shared" si="0"/>
        <v>352.60379999999998</v>
      </c>
      <c r="G29" s="21" t="str">
        <f>IF(C29&gt;META,"ATINGIU A META","NÃO ATINGIU A META")</f>
        <v>ATINGIU A META</v>
      </c>
    </row>
    <row r="30" spans="1:7" x14ac:dyDescent="0.3">
      <c r="A30" s="26">
        <v>44265</v>
      </c>
      <c r="B30" s="21" t="s">
        <v>13</v>
      </c>
      <c r="C30" s="22">
        <f t="shared" ref="C30" si="6">C29+9087</f>
        <v>14963.73</v>
      </c>
      <c r="D30" s="28">
        <v>109</v>
      </c>
      <c r="E30" s="21">
        <f>IF(C30&gt;META,6,10)</f>
        <v>6</v>
      </c>
      <c r="F30" s="27">
        <f t="shared" si="0"/>
        <v>897.82379999999989</v>
      </c>
      <c r="G30" s="21" t="str">
        <f>IF(C30&gt;META,"ATINGIU A META","NÃO ATINGIU A META")</f>
        <v>ATINGIU A META</v>
      </c>
    </row>
    <row r="31" spans="1:7" x14ac:dyDescent="0.3">
      <c r="A31" s="26">
        <v>44265</v>
      </c>
      <c r="B31" s="21" t="s">
        <v>14</v>
      </c>
      <c r="C31" s="22">
        <f>C30-3090</f>
        <v>11873.73</v>
      </c>
      <c r="D31" s="28">
        <v>73</v>
      </c>
      <c r="E31" s="21">
        <f>IF(C31&gt;META,6,10)</f>
        <v>6</v>
      </c>
      <c r="F31" s="27">
        <f t="shared" si="0"/>
        <v>712.42379999999991</v>
      </c>
      <c r="G31" s="21" t="str">
        <f>IF(C31&gt;META,"ATINGIU A META","NÃO ATINGIU A META")</f>
        <v>ATINGIU A META</v>
      </c>
    </row>
    <row r="32" spans="1:7" x14ac:dyDescent="0.3">
      <c r="A32" s="26">
        <v>44267</v>
      </c>
      <c r="B32" s="21" t="s">
        <v>11</v>
      </c>
      <c r="C32" s="22">
        <f t="shared" ref="C32:C34" si="7">C31-3090</f>
        <v>8783.73</v>
      </c>
      <c r="D32" s="28">
        <v>89</v>
      </c>
      <c r="E32" s="21">
        <f>IF(C32&gt;META,6,10)</f>
        <v>6</v>
      </c>
      <c r="F32" s="27">
        <f t="shared" si="0"/>
        <v>527.02379999999994</v>
      </c>
      <c r="G32" s="21" t="str">
        <f>IF(C32&gt;META,"ATINGIU A META","NÃO ATINGIU A META")</f>
        <v>ATINGIU A META</v>
      </c>
    </row>
    <row r="33" spans="1:7" x14ac:dyDescent="0.3">
      <c r="A33" s="26">
        <v>44267</v>
      </c>
      <c r="B33" s="21" t="s">
        <v>12</v>
      </c>
      <c r="C33" s="22">
        <f t="shared" si="7"/>
        <v>5693.73</v>
      </c>
      <c r="D33" s="28">
        <v>90</v>
      </c>
      <c r="E33" s="21">
        <f>IF(C33&gt;META,6,10)</f>
        <v>6</v>
      </c>
      <c r="F33" s="27">
        <f t="shared" si="0"/>
        <v>341.62379999999996</v>
      </c>
      <c r="G33" s="21" t="str">
        <f>IF(C33&gt;META,"ATINGIU A META","NÃO ATINGIU A META")</f>
        <v>ATINGIU A META</v>
      </c>
    </row>
    <row r="34" spans="1:7" x14ac:dyDescent="0.3">
      <c r="A34" s="26">
        <v>44267</v>
      </c>
      <c r="B34" s="21" t="s">
        <v>13</v>
      </c>
      <c r="C34" s="22">
        <f t="shared" si="7"/>
        <v>2603.7299999999996</v>
      </c>
      <c r="D34" s="28">
        <v>35</v>
      </c>
      <c r="E34" s="21">
        <f>IF(C34&gt;META,6,10)</f>
        <v>10</v>
      </c>
      <c r="F34" s="27">
        <f t="shared" si="0"/>
        <v>260.37299999999999</v>
      </c>
      <c r="G34" s="21" t="str">
        <f>IF(C34&gt;META,"ATINGIU A META","NÃO ATINGIU A META")</f>
        <v>NÃO ATINGIU A META</v>
      </c>
    </row>
    <row r="35" spans="1:7" x14ac:dyDescent="0.3">
      <c r="A35" s="26">
        <v>44267</v>
      </c>
      <c r="B35" s="21" t="s">
        <v>14</v>
      </c>
      <c r="C35" s="22">
        <f>C34+ 7000</f>
        <v>9603.73</v>
      </c>
      <c r="D35" s="28">
        <v>41</v>
      </c>
      <c r="E35" s="21">
        <f>IF(C35&gt;META,6,10)</f>
        <v>6</v>
      </c>
      <c r="F35" s="27">
        <f t="shared" si="0"/>
        <v>576.22379999999998</v>
      </c>
      <c r="G35" s="21" t="str">
        <f>IF(C35&gt;META,"ATINGIU A META","NÃO ATINGIU A META")</f>
        <v>ATINGIU A META</v>
      </c>
    </row>
    <row r="36" spans="1:7" x14ac:dyDescent="0.3">
      <c r="A36" s="20"/>
    </row>
    <row r="37" spans="1:7" x14ac:dyDescent="0.3">
      <c r="A37" s="20"/>
    </row>
    <row r="38" spans="1:7" x14ac:dyDescent="0.3">
      <c r="A38" s="20"/>
    </row>
    <row r="39" spans="1:7" x14ac:dyDescent="0.3">
      <c r="A39" s="20"/>
    </row>
    <row r="40" spans="1:7" x14ac:dyDescent="0.3">
      <c r="A40" s="20"/>
    </row>
    <row r="41" spans="1:7" x14ac:dyDescent="0.3">
      <c r="A41" s="20"/>
    </row>
    <row r="42" spans="1:7" x14ac:dyDescent="0.3">
      <c r="A42" s="20"/>
    </row>
    <row r="43" spans="1:7" x14ac:dyDescent="0.3">
      <c r="A43" s="20"/>
    </row>
    <row r="44" spans="1:7" x14ac:dyDescent="0.3">
      <c r="A44" s="20"/>
    </row>
    <row r="45" spans="1:7" x14ac:dyDescent="0.3">
      <c r="A45" s="20"/>
    </row>
    <row r="46" spans="1:7" x14ac:dyDescent="0.3">
      <c r="A46" s="20"/>
    </row>
    <row r="47" spans="1:7" x14ac:dyDescent="0.3">
      <c r="A47" s="20"/>
    </row>
    <row r="48" spans="1:7" x14ac:dyDescent="0.3">
      <c r="A48" s="20"/>
    </row>
    <row r="49" spans="1:1" x14ac:dyDescent="0.3">
      <c r="A49" s="20"/>
    </row>
    <row r="50" spans="1:1" x14ac:dyDescent="0.3">
      <c r="A50" s="20"/>
    </row>
    <row r="51" spans="1:1" x14ac:dyDescent="0.3">
      <c r="A51" s="20"/>
    </row>
    <row r="52" spans="1:1" x14ac:dyDescent="0.3">
      <c r="A52" s="20"/>
    </row>
    <row r="53" spans="1:1" x14ac:dyDescent="0.3">
      <c r="A53" s="20"/>
    </row>
    <row r="54" spans="1:1" x14ac:dyDescent="0.3">
      <c r="A54" s="20"/>
    </row>
    <row r="55" spans="1:1" x14ac:dyDescent="0.3">
      <c r="A55" s="20"/>
    </row>
    <row r="56" spans="1:1" x14ac:dyDescent="0.3">
      <c r="A56" s="20"/>
    </row>
    <row r="57" spans="1:1" x14ac:dyDescent="0.3">
      <c r="A57" s="20"/>
    </row>
  </sheetData>
  <conditionalFormatting sqref="G4:G35">
    <cfRule type="cellIs" dxfId="1" priority="1" operator="equal">
      <formula>$G$11</formula>
    </cfRule>
    <cfRule type="cellIs" dxfId="0" priority="2" operator="equal">
      <formula>$G$10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C16 C23 C29" 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50F8B-8340-4E9F-BF4B-CCE5026822AE}">
  <sheetPr codeName="Planilha1"/>
  <dimension ref="A1:G22"/>
  <sheetViews>
    <sheetView workbookViewId="0">
      <selection activeCell="A2" sqref="A2"/>
    </sheetView>
  </sheetViews>
  <sheetFormatPr defaultRowHeight="14.4" x14ac:dyDescent="0.3"/>
  <cols>
    <col min="1" max="1" width="19.6640625" customWidth="1"/>
    <col min="2" max="2" width="22.33203125" customWidth="1"/>
    <col min="5" max="5" width="14" customWidth="1"/>
    <col min="6" max="6" width="16.5546875" customWidth="1"/>
    <col min="7" max="7" width="22.5546875" customWidth="1"/>
  </cols>
  <sheetData>
    <row r="1" spans="1:7" x14ac:dyDescent="0.3">
      <c r="A1" s="1" t="s">
        <v>0</v>
      </c>
      <c r="B1" s="1" t="s">
        <v>1</v>
      </c>
    </row>
    <row r="2" spans="1:7" x14ac:dyDescent="0.3">
      <c r="A2" t="s">
        <v>14</v>
      </c>
      <c r="B2">
        <v>-585922642</v>
      </c>
      <c r="F2" s="3"/>
      <c r="G2" s="4"/>
    </row>
    <row r="3" spans="1:7" x14ac:dyDescent="0.3">
      <c r="A3" t="s">
        <v>13</v>
      </c>
      <c r="B3">
        <v>-580228847</v>
      </c>
      <c r="G3" s="4"/>
    </row>
    <row r="4" spans="1:7" x14ac:dyDescent="0.3">
      <c r="A4" t="s">
        <v>11</v>
      </c>
      <c r="B4">
        <v>-573062853</v>
      </c>
      <c r="G4" s="4"/>
    </row>
    <row r="5" spans="1:7" x14ac:dyDescent="0.3">
      <c r="A5" t="s">
        <v>12</v>
      </c>
      <c r="B5">
        <v>-516718914</v>
      </c>
      <c r="G5" s="4"/>
    </row>
    <row r="6" spans="1:7" x14ac:dyDescent="0.3">
      <c r="G6" s="4"/>
    </row>
    <row r="7" spans="1:7" x14ac:dyDescent="0.3">
      <c r="G7" s="4"/>
    </row>
    <row r="8" spans="1:7" x14ac:dyDescent="0.3">
      <c r="G8" s="4"/>
    </row>
    <row r="9" spans="1:7" x14ac:dyDescent="0.3">
      <c r="G9" s="4"/>
    </row>
    <row r="10" spans="1:7" x14ac:dyDescent="0.3">
      <c r="G10" s="4"/>
    </row>
    <row r="11" spans="1:7" x14ac:dyDescent="0.3">
      <c r="G11" s="4"/>
    </row>
    <row r="12" spans="1:7" x14ac:dyDescent="0.3">
      <c r="G12" s="4"/>
    </row>
    <row r="13" spans="1:7" x14ac:dyDescent="0.3">
      <c r="G13" s="4"/>
    </row>
    <row r="14" spans="1:7" x14ac:dyDescent="0.3">
      <c r="G14" s="4"/>
    </row>
    <row r="15" spans="1:7" x14ac:dyDescent="0.3">
      <c r="G15" s="4"/>
    </row>
    <row r="17" spans="7:7" x14ac:dyDescent="0.3">
      <c r="G17" s="4"/>
    </row>
    <row r="18" spans="7:7" x14ac:dyDescent="0.3">
      <c r="G18" s="4"/>
    </row>
    <row r="19" spans="7:7" x14ac:dyDescent="0.3">
      <c r="G19" s="4"/>
    </row>
    <row r="20" spans="7:7" x14ac:dyDescent="0.3">
      <c r="G20" s="4"/>
    </row>
    <row r="21" spans="7:7" x14ac:dyDescent="0.3">
      <c r="G21" s="4"/>
    </row>
    <row r="22" spans="7:7" x14ac:dyDescent="0.3">
      <c r="G22" s="4"/>
    </row>
  </sheetData>
  <autoFilter ref="A1:B1" xr:uid="{6A186130-EC20-4CA7-91F2-4C072D2780D1}">
    <sortState xmlns:xlrd2="http://schemas.microsoft.com/office/spreadsheetml/2017/richdata2" ref="A2:B23">
      <sortCondition ref="A1"/>
    </sortState>
  </autoFilter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D2AF1C-F881-469D-BCC5-4B5FB2714D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CONSOLIDAÇÃO E ENVIO </vt:lpstr>
      <vt:lpstr>VENDAS</vt:lpstr>
      <vt:lpstr>RELAÇÃO DE IDS TELEGRAM</vt:lpstr>
      <vt:lpstr>ATE</vt:lpstr>
      <vt:lpstr>B</vt:lpstr>
      <vt:lpstr>DE</vt:lpstr>
      <vt:lpstr>ITENS</vt:lpstr>
      <vt:lpstr>META</vt:lpstr>
      <vt:lpstr>Quantidade_de_Itens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cedrick</dc:creator>
  <cp:lastModifiedBy>Edison Costa</cp:lastModifiedBy>
  <dcterms:created xsi:type="dcterms:W3CDTF">2020-06-04T08:19:43Z</dcterms:created>
  <dcterms:modified xsi:type="dcterms:W3CDTF">2021-07-14T20:48:29Z</dcterms:modified>
</cp:coreProperties>
</file>